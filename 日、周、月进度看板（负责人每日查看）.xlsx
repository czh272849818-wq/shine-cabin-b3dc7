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 每日进度看板（负责人每日查看）" sheetId="2" r:id="rId5"/>
    <sheet name="每周进度看板（负责人每周复盘）" sheetId="3" r:id="rId6"/>
    <sheet name="每月进度看板（负责人每周复盘）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<sst xmlns="http://schemas.openxmlformats.org/spreadsheetml/2006/main" count="2" uniqueCount="2">
  <si>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 xml:space="preserve">  </t>
  </si>
  <si>
    <t/>
    <r>
      <rPr>
        <sz val="9.75"/>
        <color rgb="FF000000"/>
        <rFont val="Calibri"/>
        <family val="2"/>
      </rPr>
      <t xml:space="preserve">Excel 设置：达成率用公式 </t>
    </r>
    <r>
      <rPr>
        <sz val="9.75"/>
        <color rgb="FF000000"/>
        <rFont val="monospace"/>
        <family val="2"/>
      </rPr>
      <t>=今日/目标</t>
    </r>
    <r>
      <rPr>
        <sz val="9.75"/>
        <color rgb="FF000000"/>
        <rFont val="Calibri"/>
        <family val="2"/>
      </rPr>
      <t xml:space="preserve"> 自动计算，=IF(E3=0,"无目标",C3/E3)
E列：目标值
C列：今日新增
F列：达成率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</si>
</sst>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%"/>
    <numFmt numFmtId="165" formatCode="0%"/>
  </numFmts>
  <fonts count="7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3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left"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2" numFmtId="0" xfId="0">
      <alignment horizontal="left" vertical="center" wrapText="true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false" applyFont="true" applyNumberFormat="true" applyProtection="false" borderId="5" fillId="0" fontId="2" numFmtId="164" xfId="0">
      <alignment horizontal="left" vertical="center" wrapText="true"/>
    </xf>
    <xf applyAlignment="true" applyBorder="false" applyFill="false" applyFont="true" applyNumberFormat="false" applyProtection="false" borderId="6" fillId="0" fontId="4" numFmtId="0" xfId="0">
      <alignment vertical="center" wrapText="true"/>
    </xf>
    <xf applyAlignment="true" applyBorder="false" applyFill="false" applyFont="true" applyNumberFormat="true" applyProtection="false" borderId="7" fillId="0" fontId="4" numFmtId="165" xfId="0">
      <alignment vertical="center" wrapText="true"/>
    </xf>
    <xf applyAlignment="true" applyBorder="false" applyFill="false" applyFont="true" applyNumberFormat="false" applyProtection="false" borderId="8" fillId="0" fontId="5" numFmtId="0" xfId="0">
      <alignment vertical="center" wrapText="true"/>
    </xf>
    <xf applyAlignment="true" applyBorder="false" applyFill="false" applyFont="true" applyNumberFormat="false" applyProtection="false" borderId="9" fillId="0" fontId="6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4" t="str" xml:space="preserve">
        <v>   每日进度看板（负责人每日查看）</v>
      </c>
      <c r="B1" s="4"/>
      <c r="C1" s="4"/>
      <c r="D1" s="4"/>
      <c r="E1" s="4"/>
      <c r="F1" s="4"/>
      <c r="G1" s="4"/>
      <c r="H1" s="4"/>
      <c r="I1" s="4"/>
      <c r="J1" s="4"/>
    </row>
    <row r="2">
      <c r="A2" s="1" t="str">
        <v>分类</v>
      </c>
      <c r="B2" s="1" t="str">
        <v>核心指标</v>
      </c>
      <c r="C2" s="1" t="str">
        <v>今日新增</v>
      </c>
      <c r="D2" s="1" t="str">
        <v>累计总数</v>
      </c>
      <c r="E2" s="1" t="str">
        <v>目标值</v>
      </c>
      <c r="F2" s="1" t="str">
        <v>达成率 %</v>
      </c>
      <c r="G2" s="1" t="str">
        <v>问题备注 / 风险预警</v>
      </c>
      <c r="H2" s="2"/>
      <c r="I2" s="2"/>
      <c r="J2" s="2"/>
    </row>
    <row r="3">
      <c r="A3" s="3" t="str">
        <v>公域流量</v>
      </c>
      <c r="B3" s="3" t="str">
        <v>新增私信条数</v>
      </c>
      <c r="C3" s="3">
        <v>100</v>
      </c>
      <c r="D3" s="3">
        <v>250</v>
      </c>
      <c r="E3" s="3">
        <v>2</v>
      </c>
      <c r="F3" s="3">
        <f>IF(E3=0,"无目标",C3/E3)</f>
      </c>
      <c r="G3" s="3"/>
      <c r="H3" s="2"/>
      <c r="I3" s="2"/>
      <c r="J3" s="2"/>
    </row>
    <row r="4">
      <c r="A4" s="3"/>
      <c r="B4" s="3" t="str">
        <v>私信已回复数</v>
      </c>
      <c r="C4" s="3"/>
      <c r="D4" s="3"/>
      <c r="E4" s="5"/>
      <c r="F4" s="3"/>
      <c r="G4" s="3" t="str">
        <v>低于 95% 立刻整改</v>
      </c>
      <c r="H4" s="2"/>
      <c r="I4" s="2"/>
      <c r="J4" s="2"/>
    </row>
    <row r="5">
      <c r="A5" s="3" t="str">
        <v>私域沉淀</v>
      </c>
      <c r="B5" s="3" t="str">
        <v>今日加企微人数</v>
      </c>
      <c r="C5" s="3"/>
      <c r="D5" s="3"/>
      <c r="E5" s="3"/>
      <c r="F5" s="3"/>
      <c r="G5" s="3"/>
      <c r="H5" s="2"/>
      <c r="I5" s="2"/>
      <c r="J5" s="2"/>
    </row>
    <row r="6">
      <c r="A6" s="3" t="str">
        <v>线索分层</v>
      </c>
      <c r="B6" s="3" t="str">
        <v>A 类高意向</v>
      </c>
      <c r="C6" s="3"/>
      <c r="D6" s="3"/>
      <c r="E6" s="3"/>
      <c r="F6" s="3"/>
      <c r="G6" s="3" t="str">
        <v>立刻安排回访</v>
      </c>
      <c r="H6" s="2"/>
      <c r="I6" s="2"/>
      <c r="J6" s="2"/>
    </row>
    <row r="7">
      <c r="A7" s="3"/>
      <c r="B7" s="3" t="str">
        <v>B 类观望潜在</v>
      </c>
      <c r="C7" s="3"/>
      <c r="D7" s="3"/>
      <c r="E7" s="3"/>
      <c r="F7" s="3"/>
      <c r="G7" s="3" t="str">
        <v>朋友圈培育</v>
      </c>
      <c r="H7" s="2"/>
      <c r="I7" s="2"/>
      <c r="J7" s="2"/>
    </row>
    <row r="8">
      <c r="A8" s="3"/>
      <c r="B8" s="3" t="str">
        <v>C 类全国异地</v>
      </c>
      <c r="C8" s="3"/>
      <c r="D8" s="3"/>
      <c r="E8" s="3"/>
      <c r="F8" s="3"/>
      <c r="G8" s="3" t="str">
        <v>对接合作方</v>
      </c>
      <c r="H8" s="2"/>
      <c r="I8" s="2"/>
      <c r="J8" s="2"/>
    </row>
    <row r="9">
      <c r="A9" s="3" t="str">
        <v>本地转化</v>
      </c>
      <c r="B9" s="3" t="str">
        <v>A 类已电话回访</v>
      </c>
      <c r="C9" s="3"/>
      <c r="D9" s="3"/>
      <c r="E9" s="5"/>
      <c r="F9" s="3"/>
      <c r="G9" s="3"/>
      <c r="H9" s="2"/>
      <c r="I9" s="2"/>
      <c r="J9" s="2"/>
    </row>
    <row r="10">
      <c r="A10" s="3"/>
      <c r="B10" s="3" t="str">
        <v>预约上门勘测</v>
      </c>
      <c r="C10" s="3"/>
      <c r="D10" s="3"/>
      <c r="E10" s="3"/>
      <c r="F10" s="3"/>
      <c r="G10" s="3"/>
      <c r="H10" s="2"/>
      <c r="I10" s="2"/>
      <c r="J10" s="2"/>
    </row>
    <row r="11">
      <c r="A11" s="3"/>
      <c r="B11" s="3" t="str">
        <v>已出方案报价</v>
      </c>
      <c r="C11" s="3"/>
      <c r="D11" s="3"/>
      <c r="E11" s="3"/>
      <c r="F11" s="3"/>
      <c r="G11" s="3"/>
      <c r="H11" s="2"/>
      <c r="I11" s="2"/>
      <c r="J11" s="2"/>
    </row>
    <row r="12">
      <c r="A12" s="3"/>
      <c r="B12" s="3" t="str">
        <v>意向锁定 / 签约</v>
      </c>
      <c r="C12" s="3"/>
      <c r="D12" s="3"/>
      <c r="E12" s="3"/>
      <c r="F12" s="3"/>
      <c r="G12" s="3"/>
      <c r="H12" s="2"/>
      <c r="I12" s="2"/>
      <c r="J12" s="2"/>
    </row>
    <row r="13">
      <c r="A13" s="3" t="str">
        <v>异地业务</v>
      </c>
      <c r="B13" s="3" t="str">
        <v>异地线索推送</v>
      </c>
      <c r="C13" s="3"/>
      <c r="D13" s="3"/>
      <c r="E13" s="3"/>
      <c r="F13" s="3"/>
      <c r="G13" s="3"/>
      <c r="H13" s="2"/>
      <c r="I13" s="2"/>
      <c r="J13" s="2"/>
    </row>
    <row r="14">
      <c r="A14" s="3"/>
      <c r="B14" s="3" t="str">
        <v>合作城市数量</v>
      </c>
      <c r="C14" s="3"/>
      <c r="D14" s="3"/>
      <c r="E14" s="3"/>
      <c r="F14" s="3"/>
      <c r="G14" s="3"/>
      <c r="H14" s="2"/>
      <c r="I14" s="2"/>
      <c r="J14" s="2"/>
    </row>
    <row r="15">
      <c r="A15" s="3"/>
      <c r="B15" s="3" t="str">
        <v>异地成交 / 线索收益</v>
      </c>
      <c r="C15" s="3"/>
      <c r="D15" s="3"/>
      <c r="E15" s="3"/>
      <c r="F15" s="3"/>
      <c r="G15" s="3"/>
      <c r="H15" s="2"/>
      <c r="I15" s="2"/>
      <c r="J15" s="2"/>
    </row>
    <row r="16"/>
    <row r="17"/>
    <row r="18"/>
    <row r="19">
      <c r="A19" s="3" t="s">
        <v>1</v>
      </c>
      <c r="B19" s="3"/>
      <c r="C19" s="3"/>
      <c r="D19" s="3"/>
      <c r="E19" s="3"/>
      <c r="F19" s="3"/>
      <c r="G19" s="3"/>
    </row>
  </sheetData>
  <mergeCells>
    <mergeCell ref="A1:G1"/>
    <mergeCell ref="A19:G19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18"/>
    <col collapsed="false" customWidth="true" hidden="false" max="3" min="3" style="0" width="9"/>
    <col collapsed="false" customWidth="true" hidden="false" max="4" min="4" style="0" width="9"/>
    <col collapsed="false" customWidth="true" hidden="false" max="5" min="5" style="0" width="7"/>
    <col collapsed="false" customWidth="true" hidden="false" max="6" min="6" style="0" width="7"/>
    <col collapsed="false" customWidth="true" hidden="false" max="7" min="7" style="0" width="9"/>
    <col collapsed="false" customWidth="true" hidden="false" max="8" min="8" style="0" width="21"/>
  </cols>
  <sheetData>
    <row r="1">
      <c r="A1" s="4" t="str">
        <v>每周进度看板（负责人每周复盘）</v>
      </c>
      <c r="B1" s="4"/>
      <c r="C1" s="4"/>
      <c r="D1" s="4"/>
      <c r="E1" s="4"/>
      <c r="F1" s="4"/>
      <c r="G1" s="4"/>
      <c r="H1" s="4"/>
      <c r="I1" s="4"/>
      <c r="J1" s="4"/>
    </row>
    <row r="2">
      <c r="A2" s="8" t="str">
        <v>模块</v>
      </c>
      <c r="B2" s="8" t="str">
        <v>关键指标</v>
      </c>
      <c r="C2" s="8" t="str">
        <v>本周数据</v>
      </c>
      <c r="D2" s="8" t="str">
        <v>上周数据</v>
      </c>
      <c r="E2" s="8" t="str">
        <v>周目标</v>
      </c>
      <c r="F2" s="8" t="str">
        <v>达成率</v>
      </c>
      <c r="G2" s="8" t="str">
        <v>环比变化</v>
      </c>
      <c r="H2" s="8" t="str">
        <v>核心问题 &amp; 改进措施</v>
      </c>
    </row>
    <row r="3">
      <c r="A3" s="6" t="str">
        <v>整体线索</v>
      </c>
      <c r="B3" s="6" t="str">
        <v>新增私信总数</v>
      </c>
      <c r="C3" s="6"/>
      <c r="D3" s="6"/>
      <c r="E3" s="6"/>
      <c r="F3" s="6"/>
      <c r="G3" s="6"/>
      <c r="H3" s="6"/>
    </row>
    <row r="4">
      <c r="A4" s="6"/>
      <c r="B4" s="6" t="str">
        <v>企微好友新增总数</v>
      </c>
      <c r="C4" s="6"/>
      <c r="D4" s="6"/>
      <c r="E4" s="6"/>
      <c r="F4" s="6"/>
      <c r="G4" s="6"/>
      <c r="H4" s="6"/>
    </row>
    <row r="5">
      <c r="A5" s="6" t="str">
        <v>A 类用户转化</v>
      </c>
      <c r="B5" s="6" t="str">
        <v>回访率</v>
      </c>
      <c r="C5" s="6"/>
      <c r="D5" s="6"/>
      <c r="E5" s="7">
        <v>1</v>
      </c>
      <c r="F5" s="6"/>
      <c r="G5" s="6"/>
      <c r="H5" s="6"/>
    </row>
    <row r="6">
      <c r="A6" s="6"/>
      <c r="B6" s="6" t="str">
        <v>勘测完成率</v>
      </c>
      <c r="C6" s="6"/>
      <c r="D6" s="6"/>
      <c r="E6" s="7">
        <v>1</v>
      </c>
      <c r="F6" s="6"/>
      <c r="G6" s="6"/>
      <c r="H6" s="6"/>
    </row>
    <row r="7">
      <c r="A7" s="6"/>
      <c r="B7" s="6" t="str">
        <v>方案报价通过率</v>
      </c>
      <c r="C7" s="6"/>
      <c r="D7" s="6"/>
      <c r="E7" s="6"/>
      <c r="F7" s="6"/>
      <c r="G7" s="6"/>
      <c r="H7" s="6"/>
    </row>
    <row r="8">
      <c r="A8" s="6"/>
      <c r="B8" s="6" t="str">
        <v>签约转化率</v>
      </c>
      <c r="C8" s="6"/>
      <c r="D8" s="6"/>
      <c r="E8" s="6"/>
      <c r="F8" s="6"/>
      <c r="G8" s="6"/>
      <c r="H8" s="6"/>
    </row>
    <row r="9">
      <c r="A9" s="6" t="str">
        <v>B 类用户培育</v>
      </c>
      <c r="B9" s="6" t="str">
        <v>触达率</v>
      </c>
      <c r="C9" s="6"/>
      <c r="D9" s="6"/>
      <c r="E9" s="6" t="str">
        <v>≥80%</v>
      </c>
      <c r="F9" s="6"/>
      <c r="G9" s="6"/>
      <c r="H9" s="6"/>
    </row>
    <row r="10">
      <c r="A10" s="6"/>
      <c r="B10" s="6" t="str">
        <v>二次咨询率</v>
      </c>
      <c r="C10" s="6"/>
      <c r="D10" s="6"/>
      <c r="E10" s="6"/>
      <c r="F10" s="6"/>
      <c r="G10" s="6"/>
      <c r="H10" s="6"/>
    </row>
    <row r="11">
      <c r="A11" s="6" t="str">
        <v>异地合作</v>
      </c>
      <c r="B11" s="6" t="str">
        <v>合作方新增数</v>
      </c>
      <c r="C11" s="6"/>
      <c r="D11" s="6"/>
      <c r="E11" s="6"/>
      <c r="F11" s="6"/>
      <c r="G11" s="6"/>
      <c r="H11" s="6"/>
    </row>
    <row r="12">
      <c r="A12" s="6"/>
      <c r="B12" s="6" t="str">
        <v>线索推荐数</v>
      </c>
      <c r="C12" s="6"/>
      <c r="D12" s="6"/>
      <c r="E12" s="6"/>
      <c r="F12" s="6"/>
      <c r="G12" s="6"/>
      <c r="H12" s="6"/>
    </row>
    <row r="13">
      <c r="A13" s="6"/>
      <c r="B13" s="6" t="str">
        <v>合作转化数</v>
      </c>
      <c r="C13" s="6"/>
      <c r="D13" s="6"/>
      <c r="E13" s="6"/>
      <c r="F13" s="6"/>
      <c r="G13" s="6"/>
      <c r="H13" s="6"/>
    </row>
    <row r="14">
      <c r="A14" s="6" t="str">
        <v>运营效果</v>
      </c>
      <c r="B14" s="6" t="str">
        <v>私域用户活跃度</v>
      </c>
      <c r="C14" s="6"/>
      <c r="D14" s="6"/>
      <c r="E14" s="6"/>
      <c r="F14" s="6"/>
      <c r="G14" s="6"/>
      <c r="H14" s="6"/>
    </row>
    <row r="15">
      <c r="A15" s="6"/>
      <c r="B15" s="6" t="str">
        <v>内容互动率</v>
      </c>
      <c r="C15" s="6"/>
      <c r="D15" s="6"/>
      <c r="E15" s="6"/>
      <c r="F15" s="6"/>
      <c r="G15" s="6"/>
      <c r="H15" s="6"/>
    </row>
  </sheetData>
  <mergeCells>
    <mergeCell ref="A1:H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8" min="8" style="0" width="21"/>
  </cols>
  <sheetData>
    <row r="1">
      <c r="A1" s="9" t="str">
        <v>每月进度看板（负责人每周复盘）</v>
      </c>
      <c r="B1" s="9"/>
      <c r="C1" s="9"/>
      <c r="D1" s="9"/>
      <c r="E1" s="9"/>
      <c r="F1" s="9"/>
      <c r="G1" s="9"/>
      <c r="H1" s="9"/>
    </row>
    <row r="2">
      <c r="A2" s="8" t="str">
        <v>模块</v>
      </c>
      <c r="B2" s="8" t="str">
        <v>关键指标</v>
      </c>
      <c r="C2" s="8" t="str">
        <v>本月数据</v>
      </c>
      <c r="D2" s="8" t="str">
        <v>上月数据</v>
      </c>
      <c r="E2" s="8" t="str">
        <v>月度目标</v>
      </c>
      <c r="F2" s="8" t="str">
        <v>达成率</v>
      </c>
      <c r="G2" s="8" t="str">
        <v>环比变化</v>
      </c>
      <c r="H2" s="8" t="str">
        <v>核心结论 &amp; 优化方向</v>
      </c>
    </row>
    <row r="3">
      <c r="A3" s="6" t="str">
        <v>整体流量</v>
      </c>
      <c r="B3" s="6" t="str">
        <v>新增私信总数</v>
      </c>
      <c r="C3" s="6"/>
      <c r="D3" s="6"/>
      <c r="E3" s="6"/>
      <c r="F3" s="6"/>
      <c r="G3" s="6"/>
      <c r="H3" s="6"/>
    </row>
    <row r="4">
      <c r="A4" s="6"/>
      <c r="B4" s="6" t="str">
        <v>企微用户总数</v>
      </c>
      <c r="C4" s="6"/>
      <c r="D4" s="6"/>
      <c r="E4" s="6"/>
      <c r="F4" s="6"/>
      <c r="G4" s="6"/>
      <c r="H4" s="6"/>
    </row>
    <row r="5">
      <c r="A5" s="6" t="str">
        <v>本地转化</v>
      </c>
      <c r="B5" s="6" t="str">
        <v>A 类用户数</v>
      </c>
      <c r="C5" s="6"/>
      <c r="D5" s="6"/>
      <c r="E5" s="6"/>
      <c r="F5" s="6"/>
      <c r="G5" s="6"/>
      <c r="H5" s="6"/>
    </row>
    <row r="6">
      <c r="A6" s="6"/>
      <c r="B6" s="6" t="str">
        <v>上门勘测数</v>
      </c>
      <c r="C6" s="6"/>
      <c r="D6" s="6"/>
      <c r="E6" s="6"/>
      <c r="F6" s="6"/>
      <c r="G6" s="6"/>
      <c r="H6" s="6"/>
    </row>
    <row r="7">
      <c r="A7" s="6"/>
      <c r="B7" s="6" t="str">
        <v>签约项目数</v>
      </c>
      <c r="C7" s="6"/>
      <c r="D7" s="6"/>
      <c r="E7" s="6"/>
      <c r="F7" s="6"/>
      <c r="G7" s="6"/>
      <c r="H7" s="6"/>
    </row>
    <row r="8">
      <c r="A8" s="6"/>
      <c r="B8" s="6" t="str">
        <v>本地项目转化率</v>
      </c>
      <c r="C8" s="6"/>
      <c r="D8" s="6"/>
      <c r="E8" s="6"/>
      <c r="F8" s="6"/>
      <c r="G8" s="6"/>
      <c r="H8" s="6"/>
    </row>
    <row r="9">
      <c r="A9" s="6" t="str">
        <v>异地业务</v>
      </c>
      <c r="B9" s="6" t="str">
        <v>合作城市数</v>
      </c>
      <c r="C9" s="6"/>
      <c r="D9" s="6"/>
      <c r="E9" s="6"/>
      <c r="F9" s="6"/>
      <c r="G9" s="6"/>
      <c r="H9" s="6"/>
    </row>
    <row r="10">
      <c r="A10" s="6"/>
      <c r="B10" s="6" t="str">
        <v>异地线索转化数</v>
      </c>
      <c r="C10" s="6"/>
      <c r="D10" s="6"/>
      <c r="E10" s="6"/>
      <c r="F10" s="6"/>
      <c r="G10" s="6"/>
      <c r="H10" s="6"/>
    </row>
    <row r="11">
      <c r="A11" s="6"/>
      <c r="B11" s="6" t="str">
        <v>异地合作收入</v>
      </c>
      <c r="C11" s="6"/>
      <c r="D11" s="6"/>
      <c r="E11" s="6"/>
      <c r="F11" s="6"/>
      <c r="G11" s="6"/>
      <c r="H11" s="6"/>
    </row>
    <row r="12">
      <c r="A12" s="6" t="str">
        <v>成本与效率</v>
      </c>
      <c r="B12" s="6" t="str">
        <v>人力成本投入</v>
      </c>
      <c r="C12" s="6"/>
      <c r="D12" s="6"/>
      <c r="E12" s="6"/>
      <c r="F12" s="6"/>
      <c r="G12" s="6"/>
      <c r="H12" s="6"/>
    </row>
    <row r="13">
      <c r="A13" s="6"/>
      <c r="B13" s="6" t="str">
        <v>单线索获客成本</v>
      </c>
      <c r="C13" s="6"/>
      <c r="D13" s="6"/>
      <c r="E13" s="6"/>
      <c r="F13" s="6"/>
      <c r="G13" s="6"/>
      <c r="H13" s="6"/>
    </row>
    <row r="14">
      <c r="A14" s="6"/>
      <c r="B14" s="6" t="str">
        <v>平均转化周期</v>
      </c>
      <c r="C14" s="6"/>
      <c r="D14" s="6"/>
      <c r="E14" s="6"/>
      <c r="F14" s="6"/>
      <c r="G14" s="6"/>
      <c r="H14" s="6"/>
    </row>
  </sheetData>
  <mergeCells>
    <mergeCell ref="A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